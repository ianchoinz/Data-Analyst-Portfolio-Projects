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새 폴더 (3)\coursera\Microsoft Power BI Data Analyst\"/>
    </mc:Choice>
  </mc:AlternateContent>
  <xr:revisionPtr revIDLastSave="0" documentId="13_ncr:1_{51AF6274-E93D-4172-A05F-0404E870FF9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  <c r="K30" i="1"/>
  <c r="K33" i="1"/>
  <c r="K44" i="1"/>
  <c r="K45" i="1"/>
  <c r="K46" i="1"/>
  <c r="K47" i="1"/>
  <c r="J3" i="1"/>
  <c r="J4" i="1"/>
  <c r="J5" i="1"/>
  <c r="J6" i="1"/>
  <c r="J7" i="1"/>
  <c r="J8" i="1"/>
  <c r="J9" i="1"/>
  <c r="J10" i="1"/>
  <c r="J11" i="1"/>
  <c r="K11" i="1" s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K27" i="1" s="1"/>
  <c r="J28" i="1"/>
  <c r="K28" i="1" s="1"/>
  <c r="J29" i="1"/>
  <c r="K29" i="1" s="1"/>
  <c r="J30" i="1"/>
  <c r="J31" i="1"/>
  <c r="K31" i="1" s="1"/>
  <c r="J32" i="1"/>
  <c r="K32" i="1" s="1"/>
  <c r="J33" i="1"/>
  <c r="J34" i="1"/>
  <c r="J35" i="1"/>
  <c r="J36" i="1"/>
  <c r="J37" i="1"/>
  <c r="J38" i="1"/>
  <c r="J39" i="1"/>
  <c r="J40" i="1"/>
  <c r="J41" i="1"/>
  <c r="J42" i="1"/>
  <c r="J43" i="1"/>
  <c r="K43" i="1" s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K3" i="1" s="1"/>
  <c r="I4" i="1"/>
  <c r="K4" i="1" s="1"/>
  <c r="I5" i="1"/>
  <c r="K5" i="1" s="1"/>
  <c r="I6" i="1"/>
  <c r="I7" i="1"/>
  <c r="I8" i="1"/>
  <c r="I9" i="1"/>
  <c r="I10" i="1"/>
  <c r="I11" i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K34" i="1" s="1"/>
  <c r="I35" i="1"/>
  <c r="K35" i="1" s="1"/>
  <c r="I36" i="1"/>
  <c r="K36" i="1" s="1"/>
  <c r="I37" i="1"/>
  <c r="K37" i="1" s="1"/>
  <c r="I38" i="1"/>
  <c r="I39" i="1"/>
  <c r="I40" i="1"/>
  <c r="I41" i="1"/>
  <c r="I42" i="1"/>
  <c r="I43" i="1"/>
  <c r="I44" i="1"/>
  <c r="I45" i="1"/>
  <c r="I46" i="1"/>
  <c r="I47" i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I55" i="1"/>
  <c r="I2" i="1"/>
  <c r="K9" i="1" l="1"/>
  <c r="K24" i="1"/>
  <c r="K23" i="1"/>
  <c r="K54" i="1"/>
  <c r="K38" i="1"/>
  <c r="K22" i="1"/>
  <c r="K6" i="1"/>
  <c r="K42" i="1"/>
  <c r="K8" i="1"/>
  <c r="K41" i="1"/>
  <c r="K55" i="1"/>
  <c r="K10" i="1"/>
  <c r="K25" i="1"/>
  <c r="K40" i="1"/>
  <c r="K7" i="1"/>
  <c r="K26" i="1"/>
  <c r="K2" i="1"/>
  <c r="K39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<sst xmlns="http://schemas.openxmlformats.org/spreadsheetml/2006/main" count="730" uniqueCount="467">
  <si>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</si>
  <si>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</si>
  <si>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</si>
  <si>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</si>
  <si>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</si>
  <si>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</si>
  <si>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</si>
  <si>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</si>
  <si>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</si>
  <si>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</si>
  <si>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</si>
  <si>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</si>
  <si>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</si>
  <si>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</si>
  <si>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</si>
  <si>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</si>
  <si>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</si>
  <si>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</si>
  <si>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</si>
  <si>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</si>
  <si>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</si>
  <si>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</si>
  <si>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</si>
  <si>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</si>
  <si>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</si>
  <si>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</si>
  <si>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</si>
  <si>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</si>
  <si>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</si>
  <si>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</si>
  <si>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</si>
  <si>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</si>
  <si>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</si>
  <si>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</si>
  <si>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</si>
  <si>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</si>
  <si>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</si>
  <si>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</si>
  <si>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</si>
  <si>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</si>
  <si>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</si>
  <si>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</si>
  <si>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</si>
  <si>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</si>
  <si>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</si>
  <si>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</si>
  <si>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</si>
  <si>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</si>
  <si>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</si>
  <si>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</si>
  <si>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</si>
  <si>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</si>
  <si>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</si>
  <si>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</si>
  <si>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</si>
  <si>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</si>
  <si>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</si>
  <si>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</si>
  <si>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</si>
  <si>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</si>
  <si>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</si>
  <si>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</si>
  <si>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</si>
  <si>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</si>
  <si>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</si>
  <si>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</si>
  <si>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</si>
  <si>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</si>
  <si>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</si>
  <si>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</si>
  <si>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</si>
  <si>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</si>
  <si>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</si>
  <si>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</si>
  <si>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</si>
  <si>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</si>
  <si>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</si>
  <si>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</si>
  <si>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</si>
  <si>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</si>
  <si>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</si>
  <si>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</si>
  <si>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</si>
  <si>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</si>
  <si>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</si>
  <si>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</si>
  <si>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</si>
  <si>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</si>
  <si>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</si>
  <si>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</si>
  <si>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</si>
  <si>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</si>
  <si>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</si>
  <si>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</si>
  <si>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</si>
  <si>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</si>
  <si>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</si>
  <si>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</si>
  <si>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</si>
  <si>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</si>
  <si>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</si>
  <si>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</si>
  <si>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</si>
  <si>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</si>
  <si>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</si>
  <si>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</si>
  <si>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</si>
  <si>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</si>
  <si>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</si>
  <si>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</si>
  <si>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</si>
  <si>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</si>
  <si>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</si>
  <si>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</si>
  <si>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</si>
  <si>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</si>
  <si>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</si>
  <si>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</si>
  <si>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</si>
  <si>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</si>
  <si>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</si>
  <si>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</si>
  <si>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</si>
  <si>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</si>
  <si>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</si>
  <si>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</si>
  <si>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</si>
  <si>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</si>
  <si>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</si>
  <si>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</si>
  <si>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</si>
  <si>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</si>
  <si>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</si>
  <si>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</si>
  <si>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</si>
  <si>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</si>
  <si>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</si>
  <si>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</si>
  <si>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</si>
  <si>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</si>
  <si>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</si>
  <si>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</si>
  <si>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</si>
  <si>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</si>
  <si>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</si>
  <si>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</si>
  <si>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</si>
  <si>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</si>
  <si>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</si>
  <si>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</si>
  <si>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</si>
  <si>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</si>
  <si>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</si>
  <si>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</si>
  <si>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</si>
  <si>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</si>
  <si>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</si>
  <si>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</si>
  <si>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</si>
  <si>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</si>
  <si>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</si>
  <si>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</si>
  <si>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</si>
  <si>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</si>
  <si>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</si>
  <si>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</si>
  <si>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</si>
  <si>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</si>
  <si>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</si>
  <si>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</si>
  <si>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</si>
  <si>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</si>
  <si>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</si>
  <si>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</si>
  <si>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</si>
  <si>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</si>
  <si>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</si>
  <si>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</si>
  <si>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</si>
  <si>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</si>
  <si>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</si>
  <si>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</si>
  <si>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</si>
  <si>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</si>
  <si>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</si>
  <si>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</si>
  <si>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</si>
  <si>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</si>
  <si>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</si>
  <si>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</si>
  <si>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</si>
  <si>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</si>
  <si>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</si>
  <si>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</si>
  <si>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</si>
  <si>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</si>
  <si>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</si>
  <si>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</si>
  <si>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</si>
  <si>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</si>
  <si>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</si>
  <si>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</si>
  <si>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</si>
  <si>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</si>
  <si>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</si>
  <si>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</si>
  <si>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</si>
  <si>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</si>
  <si>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</si>
  <si>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</si>
  <si>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</si>
  <si>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</si>
  <si>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</si>
  <si>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</si>
  <si>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</si>
  <si>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</si>
  <si>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</si>
  <si>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</si>
  <si>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</si>
  <si>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</si>
  <si>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</si>
  <si>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</si>
  <si>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</si>
  <si>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</si>
  <si>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</si>
  <si>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</si>
  <si>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</si>
  <si>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</si>
  <si>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</si>
  <si>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</si>
  <si>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</si>
  <si>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</si>
  <si>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</si>
  <si>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</si>
  <si>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</si>
  <si>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</si>
  <si>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</si>
  <si>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</si>
  <si>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</si>
  <si>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</si>
  <si>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</si>
  <si>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</si>
  <si>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</si>
  <si>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</si>
  <si>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</si>
  <si>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</si>
  <si>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</si>
  <si>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</si>
  <si>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</si>
  <si>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</si>
  <si>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</si>
  <si>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</si>
  <si>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</si>
  <si>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</si>
  <si>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</si>
  <si>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</si>
  <si>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</si>
  <si>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</si>
  <si>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</si>
  <si>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</si>
  <si>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</si>
  <si>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</si>
  <si>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</si>
  <si>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</si>
  <si>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</si>
  <si>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</si>
  <si>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</si>
  <si>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</si>
  <si>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</si>
  <si>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</si>
  <si>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</si>
  <si>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</si>
  <si>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</si>
  <si>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</si>
  <si>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</si>
  <si>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</si>
  <si>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</si>
  <si>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</si>
  <si>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</si>
  <si>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</si>
  <si>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</si>
  <si>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</si>
  <si>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</si>
  <si>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</si>
  <si>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</si>
  <si>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</si>
  <si>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</si>
  <si>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</si>
  <si>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</si>
  <si>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</si>
  <si>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</si>
  <si>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</si>
  <si>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</si>
  <si>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</si>
  <si>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</si>
  <si>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</si>
  <si>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</si>
  <si>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</si>
  <si>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</si>
  <si>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</si>
  <si>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</si>
  <si>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</si>
  <si>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</si>
  <si>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</si>
  <si>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</si>
  <si>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</si>
  <si>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</si>
  <si>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</si>
  <si>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</si>
  <si>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</si>
  <si>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</si>
  <si>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</si>
  <si>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</si>
  <si>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</si>
  <si>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</si>
  <si>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</si>
  <si>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</si>
  <si>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</si>
  <si>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</si>
  <si>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</si>
  <si>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</si>
  <si>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</si>
  <si>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</si>
  <si>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</si>
  <si>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</si>
  <si>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</si>
  <si>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</si>
  <si>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</si>
  <si>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</si>
  <si>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</si>
  <si>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</si>
  <si>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</si>
  <si>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</si>
  <si>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</si>
  <si>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</si>
  <si>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</si>
  <si>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</si>
  <si>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</si>
  <si>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</si>
  <si>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</si>
  <si>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</si>
  <si>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</si>
  <si>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</si>
  <si>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</si>
  <si>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</si>
  <si>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</si>
  <si>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</si>
  <si>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</si>
  <si>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</si>
  <si>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</si>
  <si>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</si>
  <si>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</si>
  <si>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</si>
  <si>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</si>
  <si>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</si>
  <si>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</si>
  <si>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</si>
  <si>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</si>
  <si>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</si>
  <si>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</si>
  <si>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</si>
  <si>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</si>
  <si>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</si>
  <si>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</si>
  <si>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</si>
  <si>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</si>
  <si>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</si>
  <si>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</si>
  <si>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</si>
  <si>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</si>
  <si>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</si>
  <si>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</si>
  <si>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</si>
  <si>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</si>
  <si>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</si>
  <si>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</si>
  <si>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</si>
  <si>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</si>
  <si>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</si>
  <si>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</si>
  <si>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</si>
  <si>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</si>
  <si>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</si>
  <si>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</si>
  <si>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</si>
  <si>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</si>
  <si>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</si>
  <si>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</si>
  <si>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</si>
  <si>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</si>
  <si>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</si>
  <si>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</si>
  <si>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</si>
  <si>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</si>
  <si>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</si>
  <si>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</si>
  <si>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</si>
  <si>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</si>
  <si>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</si>
  <si>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</si>
  <si>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</si>
  <si>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</si>
  <si>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</si>
  <si>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</si>
  <si>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</si>
  <si>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</si>
  <si>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</si>
  <si>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</si>
  <si>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</si>
  <si>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</si>
  <si>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</si>
  <si>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</si>
  <si>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</si>
  <si>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</si>
  <si>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</si>
  <si>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</si>
  <si>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</si>
  <si>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</si>
  <si>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</si>
  <si>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</si>
  <si>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</si>
  <si>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</si>
  <si>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</si>
  <si>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</si>
  <si>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</si>
  <si>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</si>
  <si>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</si>
  <si>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</si>
  <si>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</si>
  <si>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</si>
  <si>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</si>
  <si>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</si>
  <si>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</si>
  <si>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</si>
  <si>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</si>
  <si>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</si>
  <si>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</si>
  <si>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</si>
  <si>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</si>
  <si>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</si>
  <si>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</si>
  <si>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</si>
  <si>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</si>
  <si>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</si>
  <si>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</si>
  <si>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</si>
  <si>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</si>
  <si>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</si>
  <si>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</si>
  <si>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</si>
  <si>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</si>
  <si>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</si>
  <si>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</si>
  <si>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</si>
  <si>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</si>
  <si>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</si>
  <si>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</si>
  <si>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</si>
  <si>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</si>
  <si>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</si>
  <si>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</si>
  <si>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</si>
  <si>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</si>
  <si>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</si>
  <si>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</si>
  <si>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>Profit</t>
  </si>
  <si>
    <t>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</si>
</sst>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zoomScaleNormal="100" workbookViewId="0">
      <selection activeCell="I20" sqref="I20"/>
    </sheetView>
  </sheetViews>
  <sheetFormatPr defaultRowHeight="15" x14ac:dyDescent="0.25"/>
  <cols>
    <col min="2" max="2" width="15.85546875" customWidth="1"/>
    <col min="3" max="3" width="20.85546875" customWidth="1"/>
    <col min="4" max="4" width="29.140625" customWidth="1"/>
    <col min="5" max="6" width="24.140625" customWidth="1"/>
    <col min="7" max="7" width="21.42578125" customWidth="1"/>
    <col min="8" max="12" width="21.28515625" customWidth="1"/>
    <col min="15" max="15" width="10.85546875" style="1" customWidth="1"/>
    <col min="20" max="20" width="12.85546875" customWidth="1"/>
    <col min="23" max="23" width="13.5703125" customWidth="1"/>
  </cols>
  <sheetData>
    <row r="1" spans="1:27" x14ac:dyDescent="0.2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466</v>
      </c>
      <c r="G1" t="s">
        <v>460</v>
      </c>
      <c r="H1" t="s">
        <v>436</v>
      </c>
      <c r="I1" t="s">
        <v>462</v>
      </c>
      <c r="J1" t="s">
        <v>463</v>
      </c>
      <c r="K1" t="s">
        <v>464</v>
      </c>
      <c r="L1" t="s">
        <v>465</v>
      </c>
      <c r="M1" t="s">
        <v>406</v>
      </c>
      <c r="N1" t="s">
        <v>2</v>
      </c>
      <c r="O1" s="1" t="s">
        <v>3</v>
      </c>
      <c r="P1" t="s">
        <v>4</v>
      </c>
      <c r="Q1" t="s">
        <v>5</v>
      </c>
      <c r="R1" t="s">
        <v>6</v>
      </c>
      <c r="S1" t="s">
        <v>7</v>
      </c>
      <c r="T1" t="s">
        <v>461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</row>
    <row r="2" spans="1:27" x14ac:dyDescent="0.2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>
        <f>K2-(G2*H2)</f>
        <v>86.4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 x14ac:dyDescent="0.2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E3*H3</f>
        <v>105</v>
      </c>
      <c r="J3">
        <f t="shared" ref="J3:J55" si="2">G3*H3</f>
        <v>7.3500000000000005</v>
      </c>
      <c r="K3">
        <f t="shared" ref="K3:K55" si="3">I3-J3</f>
        <v>97.65</v>
      </c>
      <c r="L3">
        <f t="shared" ref="L3:L55" si="4">K3-(G3*H3)</f>
        <v>90.300000000000011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 x14ac:dyDescent="0.2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 t="shared" si="2"/>
        <v>17.5</v>
      </c>
      <c r="K4">
        <f t="shared" si="3"/>
        <v>232.5</v>
      </c>
      <c r="L4">
        <f t="shared" si="4"/>
        <v>215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 x14ac:dyDescent="0.2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 t="shared" si="2"/>
        <v>5.25</v>
      </c>
      <c r="K5">
        <f t="shared" si="3"/>
        <v>69.75</v>
      </c>
      <c r="L5">
        <f t="shared" si="4"/>
        <v>64.5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 x14ac:dyDescent="0.2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 t="shared" si="2"/>
        <v>15.4</v>
      </c>
      <c r="K6">
        <f t="shared" si="3"/>
        <v>204.6</v>
      </c>
      <c r="L6">
        <f t="shared" si="4"/>
        <v>189.2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 x14ac:dyDescent="0.2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 t="shared" si="2"/>
        <v>10.5</v>
      </c>
      <c r="K7">
        <f t="shared" si="3"/>
        <v>139.5</v>
      </c>
      <c r="L7">
        <f t="shared" si="4"/>
        <v>129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 x14ac:dyDescent="0.2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 t="shared" si="2"/>
        <v>14.7</v>
      </c>
      <c r="K8">
        <f t="shared" si="3"/>
        <v>35.299999999999997</v>
      </c>
      <c r="L8">
        <f t="shared" si="4"/>
        <v>20.599999999999998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 x14ac:dyDescent="0.2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 t="shared" si="2"/>
        <v>18.899999999999999</v>
      </c>
      <c r="K9">
        <f t="shared" si="3"/>
        <v>251.1</v>
      </c>
      <c r="L9">
        <f t="shared" si="4"/>
        <v>232.2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 x14ac:dyDescent="0.2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 t="shared" si="2"/>
        <v>25.2</v>
      </c>
      <c r="K10">
        <f t="shared" si="3"/>
        <v>334.8</v>
      </c>
      <c r="L10">
        <f t="shared" si="4"/>
        <v>309.60000000000002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 x14ac:dyDescent="0.2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 t="shared" si="2"/>
        <v>8.3999999999999986</v>
      </c>
      <c r="K11">
        <f t="shared" si="3"/>
        <v>9.6000000000000014</v>
      </c>
      <c r="L11">
        <f t="shared" si="4"/>
        <v>1.2000000000000028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 x14ac:dyDescent="0.2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 t="shared" si="2"/>
        <v>21</v>
      </c>
      <c r="K12">
        <f t="shared" si="3"/>
        <v>279</v>
      </c>
      <c r="L12">
        <f t="shared" si="4"/>
        <v>258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 x14ac:dyDescent="0.2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 t="shared" si="2"/>
        <v>14</v>
      </c>
      <c r="K13">
        <f t="shared" si="3"/>
        <v>186</v>
      </c>
      <c r="L13">
        <f t="shared" si="4"/>
        <v>172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 x14ac:dyDescent="0.2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 t="shared" si="2"/>
        <v>21</v>
      </c>
      <c r="K14">
        <f t="shared" si="3"/>
        <v>279</v>
      </c>
      <c r="L14">
        <f t="shared" si="4"/>
        <v>258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 x14ac:dyDescent="0.2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 t="shared" si="2"/>
        <v>8.3999999999999986</v>
      </c>
      <c r="K15">
        <f t="shared" si="3"/>
        <v>111.6</v>
      </c>
      <c r="L15">
        <f t="shared" si="4"/>
        <v>103.19999999999999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 x14ac:dyDescent="0.2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 t="shared" si="2"/>
        <v>12.6</v>
      </c>
      <c r="K16">
        <f t="shared" si="3"/>
        <v>167.4</v>
      </c>
      <c r="L16">
        <f t="shared" si="4"/>
        <v>154.80000000000001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x14ac:dyDescent="0.2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 t="shared" si="2"/>
        <v>11.2</v>
      </c>
      <c r="K17">
        <f t="shared" si="3"/>
        <v>148.80000000000001</v>
      </c>
      <c r="L17">
        <f t="shared" si="4"/>
        <v>137.60000000000002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x14ac:dyDescent="0.2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 t="shared" si="2"/>
        <v>14</v>
      </c>
      <c r="K18">
        <f t="shared" si="3"/>
        <v>186</v>
      </c>
      <c r="L18">
        <f t="shared" si="4"/>
        <v>172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x14ac:dyDescent="0.2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 t="shared" si="2"/>
        <v>13.649999999999999</v>
      </c>
      <c r="K19">
        <f t="shared" si="3"/>
        <v>181.35</v>
      </c>
      <c r="L19">
        <f t="shared" si="4"/>
        <v>167.7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x14ac:dyDescent="0.2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 t="shared" si="2"/>
        <v>15.4</v>
      </c>
      <c r="K20">
        <f t="shared" si="3"/>
        <v>204.6</v>
      </c>
      <c r="L20">
        <f t="shared" si="4"/>
        <v>189.2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x14ac:dyDescent="0.2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 t="shared" si="2"/>
        <v>6.65</v>
      </c>
      <c r="K21">
        <f t="shared" si="3"/>
        <v>88.35</v>
      </c>
      <c r="L21">
        <f t="shared" si="4"/>
        <v>81.699999999999989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x14ac:dyDescent="0.2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 t="shared" si="2"/>
        <v>27.299999999999997</v>
      </c>
      <c r="K22">
        <f t="shared" si="3"/>
        <v>362.7</v>
      </c>
      <c r="L22">
        <f t="shared" si="4"/>
        <v>335.4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x14ac:dyDescent="0.2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 t="shared" si="2"/>
        <v>11.2</v>
      </c>
      <c r="K23">
        <f t="shared" si="3"/>
        <v>148.80000000000001</v>
      </c>
      <c r="L23">
        <f t="shared" si="4"/>
        <v>137.60000000000002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x14ac:dyDescent="0.2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 t="shared" si="2"/>
        <v>18.899999999999999</v>
      </c>
      <c r="K24">
        <f t="shared" si="3"/>
        <v>251.1</v>
      </c>
      <c r="L24">
        <f t="shared" si="4"/>
        <v>232.2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x14ac:dyDescent="0.2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 t="shared" si="2"/>
        <v>7.5600000000000005</v>
      </c>
      <c r="K25">
        <f t="shared" si="3"/>
        <v>100.44</v>
      </c>
      <c r="L25">
        <f t="shared" si="4"/>
        <v>92.88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x14ac:dyDescent="0.2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 t="shared" si="2"/>
        <v>20.299999999999997</v>
      </c>
      <c r="K26">
        <f t="shared" si="3"/>
        <v>269.7</v>
      </c>
      <c r="L26">
        <f t="shared" si="4"/>
        <v>249.39999999999998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x14ac:dyDescent="0.2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 t="shared" si="2"/>
        <v>11.9</v>
      </c>
      <c r="K27">
        <f t="shared" si="3"/>
        <v>158.1</v>
      </c>
      <c r="L27">
        <f t="shared" si="4"/>
        <v>146.19999999999999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x14ac:dyDescent="0.2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 t="shared" si="2"/>
        <v>15.4</v>
      </c>
      <c r="K28">
        <f t="shared" si="3"/>
        <v>204.6</v>
      </c>
      <c r="L28">
        <f t="shared" si="4"/>
        <v>189.2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x14ac:dyDescent="0.2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 t="shared" si="2"/>
        <v>21</v>
      </c>
      <c r="K29">
        <f t="shared" si="3"/>
        <v>279</v>
      </c>
      <c r="L29">
        <f t="shared" si="4"/>
        <v>258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x14ac:dyDescent="0.2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 t="shared" si="2"/>
        <v>27.3</v>
      </c>
      <c r="K30">
        <f t="shared" si="3"/>
        <v>362.7</v>
      </c>
      <c r="L30">
        <f t="shared" si="4"/>
        <v>335.4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x14ac:dyDescent="0.2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 t="shared" si="2"/>
        <v>8.4</v>
      </c>
      <c r="K31">
        <f t="shared" si="3"/>
        <v>111.6</v>
      </c>
      <c r="L31">
        <f t="shared" si="4"/>
        <v>103.19999999999999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x14ac:dyDescent="0.2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 t="shared" si="2"/>
        <v>21.7</v>
      </c>
      <c r="K32">
        <f t="shared" si="3"/>
        <v>288.3</v>
      </c>
      <c r="L32">
        <f t="shared" si="4"/>
        <v>266.60000000000002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x14ac:dyDescent="0.2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 t="shared" si="2"/>
        <v>14.56</v>
      </c>
      <c r="K33">
        <f t="shared" si="3"/>
        <v>193.44</v>
      </c>
      <c r="L33">
        <f t="shared" si="4"/>
        <v>178.88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x14ac:dyDescent="0.2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 t="shared" si="2"/>
        <v>21.7</v>
      </c>
      <c r="K34">
        <f t="shared" si="3"/>
        <v>288.3</v>
      </c>
      <c r="L34">
        <f t="shared" si="4"/>
        <v>266.60000000000002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x14ac:dyDescent="0.2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 t="shared" si="2"/>
        <v>9.24</v>
      </c>
      <c r="K35">
        <f t="shared" si="3"/>
        <v>122.76</v>
      </c>
      <c r="L35">
        <f t="shared" si="4"/>
        <v>113.52000000000001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x14ac:dyDescent="0.2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 t="shared" si="2"/>
        <v>13.44</v>
      </c>
      <c r="K36">
        <f t="shared" si="3"/>
        <v>178.56</v>
      </c>
      <c r="L36">
        <f t="shared" si="4"/>
        <v>165.12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x14ac:dyDescent="0.2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 t="shared" si="2"/>
        <v>12.32</v>
      </c>
      <c r="K37">
        <f t="shared" si="3"/>
        <v>163.68</v>
      </c>
      <c r="L37">
        <f t="shared" si="4"/>
        <v>151.36000000000001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x14ac:dyDescent="0.2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 t="shared" si="2"/>
        <v>14.7</v>
      </c>
      <c r="K38">
        <f t="shared" si="3"/>
        <v>195.3</v>
      </c>
      <c r="L38">
        <f t="shared" si="4"/>
        <v>180.60000000000002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x14ac:dyDescent="0.2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 t="shared" si="2"/>
        <v>14.700000000000001</v>
      </c>
      <c r="K39">
        <f t="shared" si="3"/>
        <v>195.3</v>
      </c>
      <c r="L39">
        <f t="shared" si="4"/>
        <v>180.60000000000002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x14ac:dyDescent="0.2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 t="shared" si="2"/>
        <v>16.8</v>
      </c>
      <c r="K40">
        <f t="shared" si="3"/>
        <v>223.2</v>
      </c>
      <c r="L40">
        <f t="shared" si="4"/>
        <v>206.39999999999998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x14ac:dyDescent="0.2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 t="shared" si="2"/>
        <v>7.35</v>
      </c>
      <c r="K41">
        <f t="shared" si="3"/>
        <v>97.65</v>
      </c>
      <c r="L41">
        <f t="shared" si="4"/>
        <v>90.300000000000011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x14ac:dyDescent="0.2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 t="shared" si="2"/>
        <v>16.100000000000001</v>
      </c>
      <c r="K42">
        <f t="shared" si="3"/>
        <v>213.9</v>
      </c>
      <c r="L42">
        <f t="shared" si="4"/>
        <v>197.8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x14ac:dyDescent="0.2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 t="shared" si="2"/>
        <v>9.66</v>
      </c>
      <c r="K43">
        <f t="shared" si="3"/>
        <v>128.34</v>
      </c>
      <c r="L43">
        <f t="shared" si="4"/>
        <v>118.68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x14ac:dyDescent="0.2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 t="shared" si="2"/>
        <v>20.3</v>
      </c>
      <c r="K44">
        <f t="shared" si="3"/>
        <v>269.7</v>
      </c>
      <c r="L44">
        <f t="shared" si="4"/>
        <v>249.39999999999998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x14ac:dyDescent="0.2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 t="shared" si="2"/>
        <v>7.7</v>
      </c>
      <c r="K45">
        <f t="shared" si="3"/>
        <v>102.3</v>
      </c>
      <c r="L45">
        <f t="shared" si="4"/>
        <v>94.6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x14ac:dyDescent="0.2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 t="shared" si="2"/>
        <v>17.64</v>
      </c>
      <c r="K46">
        <f t="shared" si="3"/>
        <v>234.36</v>
      </c>
      <c r="L46">
        <f t="shared" si="4"/>
        <v>216.72000000000003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x14ac:dyDescent="0.2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 t="shared" si="2"/>
        <v>12.88</v>
      </c>
      <c r="K47">
        <f t="shared" si="3"/>
        <v>171.12</v>
      </c>
      <c r="L47">
        <f t="shared" si="4"/>
        <v>158.24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x14ac:dyDescent="0.2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 t="shared" si="2"/>
        <v>16.45</v>
      </c>
      <c r="K48">
        <f t="shared" si="3"/>
        <v>218.55</v>
      </c>
      <c r="L48">
        <f t="shared" si="4"/>
        <v>202.10000000000002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x14ac:dyDescent="0.2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 t="shared" si="2"/>
        <v>23.1</v>
      </c>
      <c r="K49">
        <f t="shared" si="3"/>
        <v>306.89999999999998</v>
      </c>
      <c r="L49">
        <f t="shared" si="4"/>
        <v>283.79999999999995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x14ac:dyDescent="0.2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 t="shared" si="2"/>
        <v>28.7</v>
      </c>
      <c r="K50">
        <f t="shared" si="3"/>
        <v>381.3</v>
      </c>
      <c r="L50">
        <f t="shared" si="4"/>
        <v>352.6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x14ac:dyDescent="0.2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 t="shared" si="2"/>
        <v>12.18</v>
      </c>
      <c r="K51">
        <f t="shared" si="3"/>
        <v>161.82</v>
      </c>
      <c r="L51">
        <f t="shared" si="4"/>
        <v>149.63999999999999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x14ac:dyDescent="0.2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 t="shared" si="2"/>
        <v>22.75</v>
      </c>
      <c r="K52">
        <f t="shared" si="3"/>
        <v>302.25</v>
      </c>
      <c r="L52">
        <f t="shared" si="4"/>
        <v>279.5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x14ac:dyDescent="0.2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 t="shared" si="2"/>
        <v>11.97</v>
      </c>
      <c r="K53">
        <f t="shared" si="3"/>
        <v>159.03</v>
      </c>
      <c r="L53">
        <f t="shared" si="4"/>
        <v>147.06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x14ac:dyDescent="0.2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 t="shared" si="2"/>
        <v>19.04</v>
      </c>
      <c r="K54">
        <f t="shared" si="3"/>
        <v>252.96</v>
      </c>
      <c r="L54">
        <f t="shared" si="4"/>
        <v>233.92000000000002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x14ac:dyDescent="0.2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 t="shared" si="2"/>
        <v>6.86</v>
      </c>
      <c r="K55">
        <f t="shared" si="3"/>
        <v>91.14</v>
      </c>
      <c r="L55">
        <f t="shared" si="4"/>
        <v>84.28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Jungyin Choi</cp:lastModifiedBy>
  <dcterms:created xsi:type="dcterms:W3CDTF">2023-10-14T09:55:00Z</dcterms:created>
  <dcterms:modified xsi:type="dcterms:W3CDTF">2025-08-18T11:47:08Z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